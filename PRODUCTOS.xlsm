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xecutiveRG\Pictures\RG\EXCEL\PRODUCTOS\"/>
    </mc:Choice>
  </mc:AlternateContent>
  <xr:revisionPtr revIDLastSave="0" documentId="13_ncr:1_{AEDE8FE6-A23D-4B89-AE38-AEDBB6FA4BB7}" xr6:coauthVersionLast="47" xr6:coauthVersionMax="47" xr10:uidLastSave="{00000000-0000-0000-0000-000000000000}"/>
  <bookViews>
    <workbookView xWindow="-120" yWindow="-120" windowWidth="15600" windowHeight="11160" activeTab="4" xr2:uid="{35DD81D1-8DD4-4549-9D63-EEF3DDA1DB0B}"/>
  </bookViews>
  <sheets>
    <sheet name="Hoja1" sheetId="1" r:id="rId1"/>
    <sheet name="ALMACEN" sheetId="2" r:id="rId2"/>
    <sheet name="BUSCADOR" sheetId="3" r:id="rId3"/>
    <sheet name="CATALOGO" sheetId="4" r:id="rId4"/>
    <sheet name="LISTA" sheetId="5" r:id="rId5"/>
  </sheets>
  <definedNames>
    <definedName name="BUSCARPRODUCTO">INDIRECT(BUSCADOR!$A$5)</definedName>
    <definedName name="Doritos">ALMACEN!$C$5</definedName>
    <definedName name="ELIZABETH_QUAY">Hoja1!$B$2</definedName>
    <definedName name="MATAGARUP_BRIDGE">Hoja1!$A$2</definedName>
    <definedName name="MuestraCatalogo">INDIRECT(Hoja1!$B$5)</definedName>
    <definedName name="Oreo_Mini_Cookies">ALMACEN!$C$2</definedName>
    <definedName name="Smiths_Snacks">ALMACEN!$C$4</definedName>
    <definedName name="Water_Mineral">ALMACEN!$C$3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2" i="5"/>
  <c r="B5" i="3"/>
  <c r="D5" i="3" s="1"/>
  <c r="E5" i="2"/>
  <c r="E4" i="2"/>
  <c r="E2" i="2"/>
  <c r="E3" i="2"/>
</calcChain>
</file>

<file path=xl/sharedStrings.xml><?xml version="1.0" encoding="utf-8"?>
<sst xmlns="http://schemas.openxmlformats.org/spreadsheetml/2006/main" count="22" uniqueCount="15">
  <si>
    <t>MATAGARUP_BRIDGE</t>
  </si>
  <si>
    <t>ELIZABETH_QUAY</t>
  </si>
  <si>
    <t>BUSCADOR:</t>
  </si>
  <si>
    <t>PRODUCTO</t>
  </si>
  <si>
    <t>IMAGEN</t>
  </si>
  <si>
    <t>PRECIO UNIT.</t>
  </si>
  <si>
    <t>CANTIDAD</t>
  </si>
  <si>
    <t>SUBTOTAL</t>
  </si>
  <si>
    <t>Oreo_Mini_Cookies</t>
  </si>
  <si>
    <t>Water_Mineral</t>
  </si>
  <si>
    <t>BUSCADOR DE PRODUCTOS</t>
  </si>
  <si>
    <t>ESTADO</t>
  </si>
  <si>
    <t>Smiths_Snacks</t>
  </si>
  <si>
    <t>Doritos</t>
  </si>
  <si>
    <t>PRECIO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</si>
</sst>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C09]* #,##0.00_-;\-[$$-C09]* #,##0.00_-;_-[$$-C09]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Font="1"/>
    <xf numFmtId="0" fontId="1" fillId="2" borderId="0" xfId="0" applyFont="1" applyFill="1" applyAlignment="1">
      <alignment horizont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/>
    <xf numFmtId="0" fontId="1" fillId="4" borderId="0" xfId="0" applyFont="1" applyFill="1" applyAlignment="1">
      <alignment horizontal="center"/>
    </xf>
    <xf numFmtId="0" fontId="3" fillId="0" borderId="0" xfId="0" applyFont="1"/>
    <xf numFmtId="0" fontId="0" fillId="0" borderId="1" xfId="0" applyFont="1" applyBorder="1" applyAlignment="1">
      <alignment horizontal="center" vertical="center"/>
    </xf>
    <xf numFmtId="164" fontId="0" fillId="0" borderId="1" xfId="0" applyNumberFormat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jpeg"/><Relationship Id="rId4" Type="http://schemas.openxmlformats.org/officeDocument/2006/relationships/image" Target="../media/image8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1</xdr:row>
      <xdr:rowOff>14019</xdr:rowOff>
    </xdr:from>
    <xdr:to>
      <xdr:col>0</xdr:col>
      <xdr:colOff>1178633</xdr:colOff>
      <xdr:row>2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D4F82A7-2DCB-4226-B864-D69CE4102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1" y="204519"/>
          <a:ext cx="1007182" cy="738456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123826</xdr:colOff>
      <xdr:row>1</xdr:row>
      <xdr:rowOff>0</xdr:rowOff>
    </xdr:from>
    <xdr:to>
      <xdr:col>1</xdr:col>
      <xdr:colOff>1200150</xdr:colOff>
      <xdr:row>2</xdr:row>
      <xdr:rowOff>15875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56766DF-35BE-4AB7-AE7A-826263A0B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7326" y="190500"/>
          <a:ext cx="1076324" cy="768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9526</xdr:rowOff>
        </xdr:from>
        <xdr:to>
          <xdr:col>1</xdr:col>
          <xdr:colOff>19050</xdr:colOff>
          <xdr:row>6</xdr:row>
          <xdr:rowOff>28576</xdr:rowOff>
        </xdr:to>
        <xdr:pic>
          <xdr:nvPicPr>
            <xdr:cNvPr id="6" name="Imagen 5">
              <a:extLst>
                <a:ext uri="{FF2B5EF4-FFF2-40B4-BE49-F238E27FC236}">
                  <a16:creationId xmlns:a16="http://schemas.microsoft.com/office/drawing/2014/main" id="{A6919488-1752-4B8B-A0CA-179EA6C93E8A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MuestraCatalogo" spid="_x0000_s1042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9050" y="1524001"/>
              <a:ext cx="1333500" cy="75247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142457</xdr:colOff>
      <xdr:row>1</xdr:row>
      <xdr:rowOff>66675</xdr:rowOff>
    </xdr:from>
    <xdr:to>
      <xdr:col>2</xdr:col>
      <xdr:colOff>628232</xdr:colOff>
      <xdr:row>1</xdr:row>
      <xdr:rowOff>552450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7D0D6D2-FA70-4825-9573-C3157C54C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1957" y="257175"/>
          <a:ext cx="485775" cy="485775"/>
        </a:xfrm>
        <a:prstGeom prst="rect">
          <a:avLst/>
        </a:prstGeom>
      </xdr:spPr>
    </xdr:pic>
    <xdr:clientData/>
  </xdr:twoCellAnchor>
  <xdr:twoCellAnchor editAs="oneCell">
    <xdr:from>
      <xdr:col>2</xdr:col>
      <xdr:colOff>132932</xdr:colOff>
      <xdr:row>2</xdr:row>
      <xdr:rowOff>28575</xdr:rowOff>
    </xdr:from>
    <xdr:to>
      <xdr:col>2</xdr:col>
      <xdr:colOff>637757</xdr:colOff>
      <xdr:row>2</xdr:row>
      <xdr:rowOff>533400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612463D-1A8E-4316-93D0-4975552C9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2432" y="809625"/>
          <a:ext cx="504825" cy="504825"/>
        </a:xfrm>
        <a:prstGeom prst="rect">
          <a:avLst/>
        </a:prstGeom>
      </xdr:spPr>
    </xdr:pic>
    <xdr:clientData/>
  </xdr:twoCellAnchor>
  <xdr:twoCellAnchor>
    <xdr:from>
      <xdr:col>2</xdr:col>
      <xdr:colOff>142457</xdr:colOff>
      <xdr:row>3</xdr:row>
      <xdr:rowOff>57150</xdr:rowOff>
    </xdr:from>
    <xdr:to>
      <xdr:col>2</xdr:col>
      <xdr:colOff>628232</xdr:colOff>
      <xdr:row>3</xdr:row>
      <xdr:rowOff>542925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B1D21F5-E6D9-433C-8DCA-3F7C938C9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7957" y="1428750"/>
          <a:ext cx="485775" cy="485775"/>
        </a:xfrm>
        <a:prstGeom prst="rect">
          <a:avLst/>
        </a:prstGeom>
      </xdr:spPr>
    </xdr:pic>
    <xdr:clientData/>
  </xdr:twoCellAnchor>
  <xdr:twoCellAnchor>
    <xdr:from>
      <xdr:col>2</xdr:col>
      <xdr:colOff>142876</xdr:colOff>
      <xdr:row>4</xdr:row>
      <xdr:rowOff>57151</xdr:rowOff>
    </xdr:from>
    <xdr:to>
      <xdr:col>2</xdr:col>
      <xdr:colOff>619126</xdr:colOff>
      <xdr:row>4</xdr:row>
      <xdr:rowOff>533401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0973CFF-0E41-4C70-B6B1-CDB8A10E1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76" y="2019301"/>
          <a:ext cx="476250" cy="47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9525</xdr:rowOff>
        </xdr:from>
        <xdr:to>
          <xdr:col>5</xdr:col>
          <xdr:colOff>8659</xdr:colOff>
          <xdr:row>5</xdr:row>
          <xdr:rowOff>19916</xdr:rowOff>
        </xdr:to>
        <xdr:pic>
          <xdr:nvPicPr>
            <xdr:cNvPr id="2" name="Imagen 1">
              <a:extLst>
                <a:ext uri="{FF2B5EF4-FFF2-40B4-BE49-F238E27FC236}">
                  <a16:creationId xmlns:a16="http://schemas.microsoft.com/office/drawing/2014/main" id="{E85BFF35-E2A2-4301-A485-C27D28F38B99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BUSCARPRODUCTO" spid="_x0000_s2072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4339070" y="771525"/>
              <a:ext cx="1012248" cy="590550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4</xdr:col>
      <xdr:colOff>658090</xdr:colOff>
      <xdr:row>0</xdr:row>
      <xdr:rowOff>17318</xdr:rowOff>
    </xdr:from>
    <xdr:to>
      <xdr:col>4</xdr:col>
      <xdr:colOff>987136</xdr:colOff>
      <xdr:row>1</xdr:row>
      <xdr:rowOff>155864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052515D-C6DC-4E91-B328-6BAF42D31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7635" y="17318"/>
          <a:ext cx="329046" cy="32904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85725</xdr:rowOff>
    </xdr:from>
    <xdr:to>
      <xdr:col>11</xdr:col>
      <xdr:colOff>685800</xdr:colOff>
      <xdr:row>6</xdr:row>
      <xdr:rowOff>104775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E0117D2-F08B-4C20-BDA1-3B494230FCDB}"/>
            </a:ext>
          </a:extLst>
        </xdr:cNvPr>
        <xdr:cNvSpPr/>
      </xdr:nvSpPr>
      <xdr:spPr>
        <a:xfrm>
          <a:off x="76200" y="85725"/>
          <a:ext cx="8991600" cy="1162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4400"/>
            <a:t>CATALOGO DE PRODUCTOS</a:t>
          </a:r>
        </a:p>
      </xdr:txBody>
    </xdr:sp>
    <xdr:clientData/>
  </xdr:twoCellAnchor>
  <xdr:twoCellAnchor>
    <xdr:from>
      <xdr:col>0</xdr:col>
      <xdr:colOff>190500</xdr:colOff>
      <xdr:row>7</xdr:row>
      <xdr:rowOff>180975</xdr:rowOff>
    </xdr:from>
    <xdr:to>
      <xdr:col>2</xdr:col>
      <xdr:colOff>600075</xdr:colOff>
      <xdr:row>28</xdr:row>
      <xdr:rowOff>104775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8775AF4-6F38-4784-B056-9BF280E130B4}"/>
            </a:ext>
          </a:extLst>
        </xdr:cNvPr>
        <xdr:cNvSpPr/>
      </xdr:nvSpPr>
      <xdr:spPr>
        <a:xfrm>
          <a:off x="190500" y="1514475"/>
          <a:ext cx="1933575" cy="392430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 editAs="oneCell">
    <xdr:from>
      <xdr:col>0</xdr:col>
      <xdr:colOff>380999</xdr:colOff>
      <xdr:row>9</xdr:row>
      <xdr:rowOff>114299</xdr:rowOff>
    </xdr:from>
    <xdr:to>
      <xdr:col>2</xdr:col>
      <xdr:colOff>371475</xdr:colOff>
      <xdr:row>17</xdr:row>
      <xdr:rowOff>104775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4A84917-8EB3-4718-98A4-E5C516CBE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999" y="1828799"/>
          <a:ext cx="1514476" cy="1514476"/>
        </a:xfrm>
        <a:prstGeom prst="rect">
          <a:avLst/>
        </a:prstGeom>
      </xdr:spPr>
    </xdr:pic>
    <xdr:clientData/>
  </xdr:twoCellAnchor>
  <xdr:twoCellAnchor>
    <xdr:from>
      <xdr:col>0</xdr:col>
      <xdr:colOff>409575</xdr:colOff>
      <xdr:row>19</xdr:row>
      <xdr:rowOff>171450</xdr:rowOff>
    </xdr:from>
    <xdr:to>
      <xdr:col>2</xdr:col>
      <xdr:colOff>495300</xdr:colOff>
      <xdr:row>24</xdr:row>
      <xdr:rowOff>28575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A8989049-309C-42A0-AEA6-4D2AADCF1391}"/>
            </a:ext>
          </a:extLst>
        </xdr:cNvPr>
        <xdr:cNvSpPr/>
      </xdr:nvSpPr>
      <xdr:spPr>
        <a:xfrm>
          <a:off x="409575" y="3790950"/>
          <a:ext cx="1609725" cy="809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100">
              <a:solidFill>
                <a:schemeClr val="tx1"/>
              </a:solidFill>
            </a:rPr>
            <a:t>DESCRIPCION:</a:t>
          </a:r>
          <a:r>
            <a:rPr lang="es-VE" sz="1100" baseline="0">
              <a:solidFill>
                <a:schemeClr val="tx1"/>
              </a:solidFill>
            </a:rPr>
            <a:t> Patatas fritas Smith's con corte ondulado sabor barbacoa, 170 g</a:t>
          </a:r>
          <a:endParaRPr lang="es-V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676275</xdr:colOff>
      <xdr:row>17</xdr:row>
      <xdr:rowOff>152400</xdr:rowOff>
    </xdr:from>
    <xdr:to>
      <xdr:col>2</xdr:col>
      <xdr:colOff>276225</xdr:colOff>
      <xdr:row>20</xdr:row>
      <xdr:rowOff>28575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ACC4FBBA-892A-4450-8DEA-8CB2E4F26930}"/>
            </a:ext>
          </a:extLst>
        </xdr:cNvPr>
        <xdr:cNvSpPr/>
      </xdr:nvSpPr>
      <xdr:spPr>
        <a:xfrm>
          <a:off x="676275" y="3390900"/>
          <a:ext cx="1123950" cy="4476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2400" b="1">
              <a:solidFill>
                <a:schemeClr val="tx1"/>
              </a:solidFill>
            </a:rPr>
            <a:t>$2.50</a:t>
          </a:r>
        </a:p>
      </xdr:txBody>
    </xdr:sp>
    <xdr:clientData/>
  </xdr:twoCellAnchor>
  <xdr:twoCellAnchor>
    <xdr:from>
      <xdr:col>3</xdr:col>
      <xdr:colOff>352425</xdr:colOff>
      <xdr:row>7</xdr:row>
      <xdr:rowOff>180975</xdr:rowOff>
    </xdr:from>
    <xdr:to>
      <xdr:col>6</xdr:col>
      <xdr:colOff>0</xdr:colOff>
      <xdr:row>28</xdr:row>
      <xdr:rowOff>104775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194FCA28-1ED1-4ACB-8FAB-D83FB2D87B82}"/>
            </a:ext>
          </a:extLst>
        </xdr:cNvPr>
        <xdr:cNvSpPr/>
      </xdr:nvSpPr>
      <xdr:spPr>
        <a:xfrm>
          <a:off x="2638425" y="1514475"/>
          <a:ext cx="1933575" cy="392430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 editAs="oneCell">
    <xdr:from>
      <xdr:col>3</xdr:col>
      <xdr:colOff>609599</xdr:colOff>
      <xdr:row>9</xdr:row>
      <xdr:rowOff>104774</xdr:rowOff>
    </xdr:from>
    <xdr:to>
      <xdr:col>5</xdr:col>
      <xdr:colOff>589584</xdr:colOff>
      <xdr:row>17</xdr:row>
      <xdr:rowOff>84759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85728617-3BB4-4046-908B-9D1496CE0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5599" y="1819274"/>
          <a:ext cx="1503985" cy="1503985"/>
        </a:xfrm>
        <a:prstGeom prst="rect">
          <a:avLst/>
        </a:prstGeom>
      </xdr:spPr>
    </xdr:pic>
    <xdr:clientData/>
  </xdr:twoCellAnchor>
  <xdr:twoCellAnchor>
    <xdr:from>
      <xdr:col>3</xdr:col>
      <xdr:colOff>571500</xdr:colOff>
      <xdr:row>20</xdr:row>
      <xdr:rowOff>19050</xdr:rowOff>
    </xdr:from>
    <xdr:to>
      <xdr:col>5</xdr:col>
      <xdr:colOff>657225</xdr:colOff>
      <xdr:row>24</xdr:row>
      <xdr:rowOff>66675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5B2F05C8-D974-4D70-8561-06BFD724A3AC}"/>
            </a:ext>
          </a:extLst>
        </xdr:cNvPr>
        <xdr:cNvSpPr/>
      </xdr:nvSpPr>
      <xdr:spPr>
        <a:xfrm>
          <a:off x="2857500" y="3829050"/>
          <a:ext cx="1609725" cy="809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100">
              <a:solidFill>
                <a:schemeClr val="tx1"/>
              </a:solidFill>
            </a:rPr>
            <a:t>DESCRIPCION</a:t>
          </a:r>
          <a:r>
            <a:rPr lang="es-VE" sz="1100" baseline="0">
              <a:solidFill>
                <a:schemeClr val="tx1"/>
              </a:solidFill>
            </a:rPr>
            <a:t>: Bolsas de Galletas Oreo Mini Originales, paquete de 10 unidades, 204 g</a:t>
          </a:r>
          <a:endParaRPr lang="es-VE" sz="1100" b="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123825</xdr:colOff>
      <xdr:row>17</xdr:row>
      <xdr:rowOff>114300</xdr:rowOff>
    </xdr:from>
    <xdr:to>
      <xdr:col>5</xdr:col>
      <xdr:colOff>485775</xdr:colOff>
      <xdr:row>19</xdr:row>
      <xdr:rowOff>180975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C04585C9-2203-4716-B599-D6627BCFB582}"/>
            </a:ext>
          </a:extLst>
        </xdr:cNvPr>
        <xdr:cNvSpPr/>
      </xdr:nvSpPr>
      <xdr:spPr>
        <a:xfrm>
          <a:off x="3171825" y="3352800"/>
          <a:ext cx="1123950" cy="4476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2400" b="1">
              <a:solidFill>
                <a:schemeClr val="tx1"/>
              </a:solidFill>
            </a:rPr>
            <a:t>$2.50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24</xdr:row>
          <xdr:rowOff>123825</xdr:rowOff>
        </xdr:from>
        <xdr:to>
          <xdr:col>2</xdr:col>
          <xdr:colOff>228600</xdr:colOff>
          <xdr:row>26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24</xdr:row>
          <xdr:rowOff>133350</xdr:rowOff>
        </xdr:from>
        <xdr:to>
          <xdr:col>5</xdr:col>
          <xdr:colOff>428625</xdr:colOff>
          <xdr:row>26</xdr:row>
          <xdr:rowOff>133350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PRODUCTO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79A30-F153-455E-AD0F-D34CDEC04913}">
  <sheetPr codeName="Hoja1"/>
  <dimension ref="A1:B6"/>
  <sheetViews>
    <sheetView workbookViewId="0">
      <selection activeCell="B14" sqref="B14"/>
    </sheetView>
  </sheetViews>
  <sheetFormatPr baseColWidth="10" defaultRowHeight="15" x14ac:dyDescent="0.25"/>
  <cols>
    <col min="1" max="1" width="20" bestFit="1" customWidth="1"/>
    <col min="2" max="2" width="19.85546875" customWidth="1"/>
  </cols>
  <sheetData>
    <row r="1" spans="1:2" x14ac:dyDescent="0.25">
      <c r="A1" s="1" t="s">
        <v>0</v>
      </c>
      <c r="B1" s="1" t="s">
        <v>1</v>
      </c>
    </row>
    <row r="2" spans="1:2" ht="59.25" customHeight="1" x14ac:dyDescent="0.25"/>
    <row r="5" spans="1:2" x14ac:dyDescent="0.25">
      <c r="A5" t="s">
        <v>2</v>
      </c>
      <c r="B5" t="s">
        <v>1</v>
      </c>
    </row>
    <row r="6" spans="1:2" ht="57.75" customHeight="1" x14ac:dyDescent="0.25"/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14711-A90D-46AF-9E79-F705D5F33A01}">
  <sheetPr codeName="Hoja2"/>
  <dimension ref="A1:E5"/>
  <sheetViews>
    <sheetView workbookViewId="0">
      <selection activeCell="D10" sqref="D10"/>
    </sheetView>
  </sheetViews>
  <sheetFormatPr baseColWidth="10" defaultRowHeight="15" x14ac:dyDescent="0.25"/>
  <cols>
    <col min="1" max="1" width="18.5703125" bestFit="1" customWidth="1"/>
    <col min="2" max="2" width="12.85546875" bestFit="1" customWidth="1"/>
  </cols>
  <sheetData>
    <row r="1" spans="1:5" x14ac:dyDescent="0.25">
      <c r="A1" s="7" t="s">
        <v>3</v>
      </c>
      <c r="B1" s="7" t="s">
        <v>5</v>
      </c>
      <c r="C1" s="7" t="s">
        <v>4</v>
      </c>
      <c r="D1" s="7" t="s">
        <v>6</v>
      </c>
      <c r="E1" s="7" t="s">
        <v>11</v>
      </c>
    </row>
    <row r="2" spans="1:5" ht="47.1" customHeight="1" x14ac:dyDescent="0.25">
      <c r="A2" s="9" t="s">
        <v>8</v>
      </c>
      <c r="B2" s="10">
        <v>2</v>
      </c>
      <c r="C2" s="6"/>
      <c r="D2" s="4">
        <v>10</v>
      </c>
      <c r="E2" s="4" t="str">
        <f>IF(D2&lt;10,"RECARGAR","ESTABLE")</f>
        <v>ESTABLE</v>
      </c>
    </row>
    <row r="3" spans="1:5" ht="47.1" customHeight="1" x14ac:dyDescent="0.25">
      <c r="A3" s="9" t="s">
        <v>9</v>
      </c>
      <c r="B3" s="10">
        <v>8</v>
      </c>
      <c r="C3" s="6"/>
      <c r="D3" s="4">
        <v>10</v>
      </c>
      <c r="E3" s="4" t="str">
        <f>IF(D3&lt;10,"RECARGAR","ESTABLE")</f>
        <v>ESTABLE</v>
      </c>
    </row>
    <row r="4" spans="1:5" ht="47.1" customHeight="1" x14ac:dyDescent="0.25">
      <c r="A4" s="4" t="s">
        <v>12</v>
      </c>
      <c r="B4" s="5">
        <v>2.5</v>
      </c>
      <c r="C4" s="6"/>
      <c r="D4" s="4">
        <v>5</v>
      </c>
      <c r="E4" s="4" t="str">
        <f>IF(D4&lt;10,"RECARGAR","ESTABLE")</f>
        <v>RECARGAR</v>
      </c>
    </row>
    <row r="5" spans="1:5" ht="47.1" customHeight="1" x14ac:dyDescent="0.25">
      <c r="A5" s="11" t="s">
        <v>13</v>
      </c>
      <c r="B5" s="5">
        <v>2.5</v>
      </c>
      <c r="C5" s="6"/>
      <c r="D5" s="4">
        <v>11</v>
      </c>
      <c r="E5" s="4" t="str">
        <f>IF(D5&lt;10,"RECARGAR","ESTABLE")</f>
        <v>ESTABLE</v>
      </c>
    </row>
  </sheetData>
  <conditionalFormatting sqref="D2:D3">
    <cfRule type="cellIs" dxfId="11" priority="12" operator="greaterThan">
      <formula>10</formula>
    </cfRule>
    <cfRule type="cellIs" dxfId="10" priority="11" operator="greaterThan">
      <formula>9</formula>
    </cfRule>
    <cfRule type="cellIs" dxfId="9" priority="10" operator="lessThan">
      <formula>5</formula>
    </cfRule>
    <cfRule type="cellIs" dxfId="8" priority="9" operator="between">
      <formula>9</formula>
      <formula>5</formula>
    </cfRule>
  </conditionalFormatting>
  <conditionalFormatting sqref="D4">
    <cfRule type="cellIs" dxfId="7" priority="5" operator="between">
      <formula>9</formula>
      <formula>5</formula>
    </cfRule>
    <cfRule type="cellIs" dxfId="6" priority="6" operator="lessThan">
      <formula>5</formula>
    </cfRule>
    <cfRule type="cellIs" dxfId="5" priority="7" operator="greaterThan">
      <formula>9</formula>
    </cfRule>
    <cfRule type="cellIs" dxfId="4" priority="8" operator="greaterThan">
      <formula>10</formula>
    </cfRule>
  </conditionalFormatting>
  <conditionalFormatting sqref="D5">
    <cfRule type="cellIs" dxfId="3" priority="1" operator="between">
      <formula>9</formula>
      <formula>5</formula>
    </cfRule>
    <cfRule type="cellIs" dxfId="2" priority="2" operator="lessThan">
      <formula>5</formula>
    </cfRule>
    <cfRule type="cellIs" dxfId="1" priority="3" operator="greaterThan">
      <formula>9</formula>
    </cfRule>
    <cfRule type="cellIs" dxfId="0" priority="4" operator="greaterThan">
      <formula>10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E9E-255F-4271-A2CB-022E83AC16DD}">
  <sheetPr codeName="Hoja3"/>
  <dimension ref="A1:E10"/>
  <sheetViews>
    <sheetView zoomScale="110" zoomScaleNormal="110" workbookViewId="0">
      <selection activeCell="B12" sqref="B12"/>
    </sheetView>
  </sheetViews>
  <sheetFormatPr baseColWidth="10" defaultRowHeight="15" x14ac:dyDescent="0.25"/>
  <cols>
    <col min="1" max="1" width="18.5703125" bestFit="1" customWidth="1"/>
    <col min="2" max="2" width="15.5703125" customWidth="1"/>
    <col min="3" max="3" width="15.42578125" customWidth="1"/>
    <col min="4" max="4" width="15.28515625" customWidth="1"/>
    <col min="5" max="5" width="15.140625" customWidth="1"/>
  </cols>
  <sheetData>
    <row r="1" spans="1:5" x14ac:dyDescent="0.25">
      <c r="A1" s="13" t="s">
        <v>10</v>
      </c>
      <c r="B1" s="13"/>
      <c r="C1" s="13"/>
      <c r="D1" s="13"/>
      <c r="E1" s="13"/>
    </row>
    <row r="2" spans="1:5" x14ac:dyDescent="0.25">
      <c r="A2" s="13"/>
      <c r="B2" s="13"/>
      <c r="C2" s="13"/>
      <c r="D2" s="13"/>
      <c r="E2" s="13"/>
    </row>
    <row r="3" spans="1:5" x14ac:dyDescent="0.25">
      <c r="A3" s="13"/>
      <c r="B3" s="13"/>
      <c r="C3" s="13"/>
      <c r="D3" s="13"/>
      <c r="E3" s="13"/>
    </row>
    <row r="4" spans="1:5" x14ac:dyDescent="0.25">
      <c r="A4" s="3" t="s">
        <v>3</v>
      </c>
      <c r="B4" s="3" t="s">
        <v>5</v>
      </c>
      <c r="C4" s="3" t="s">
        <v>6</v>
      </c>
      <c r="D4" s="3" t="s">
        <v>7</v>
      </c>
      <c r="E4" s="3" t="s">
        <v>4</v>
      </c>
    </row>
    <row r="5" spans="1:5" ht="60.75" customHeight="1" x14ac:dyDescent="0.25">
      <c r="A5" s="4" t="s">
        <v>8</v>
      </c>
      <c r="B5" s="5">
        <f>_xlfn.XLOOKUP(A5,ALMACEN!A2:A5,ALMACEN!B2:B5)</f>
        <v>2</v>
      </c>
      <c r="C5" s="4">
        <v>1</v>
      </c>
      <c r="D5" s="5">
        <f>B5*C5</f>
        <v>2</v>
      </c>
      <c r="E5" s="6"/>
    </row>
    <row r="10" spans="1:5" x14ac:dyDescent="0.25">
      <c r="B10" s="8"/>
    </row>
  </sheetData>
  <mergeCells count="1">
    <mergeCell ref="A1:E3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53D8FA-1F2F-4CDA-9099-4EE811BAFBA4}">
          <x14:formula1>
            <xm:f>ALMACEN!$A$2:$A$5</xm:f>
          </x14:formula1>
          <xm:sqref>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5DD04-92E2-417A-8297-307D11D85752}">
  <sheetPr codeName="Hoja4"/>
  <dimension ref="H16:I21"/>
  <sheetViews>
    <sheetView showGridLines="0" workbookViewId="0">
      <selection activeCell="G26" sqref="G26"/>
    </sheetView>
  </sheetViews>
  <sheetFormatPr baseColWidth="10" defaultRowHeight="15" x14ac:dyDescent="0.25"/>
  <sheetData>
    <row r="16" spans="9:9" x14ac:dyDescent="0.25">
      <c r="I16" s="2"/>
    </row>
    <row r="18" spans="8:8" x14ac:dyDescent="0.25">
      <c r="H18" s="8"/>
    </row>
    <row r="21" spans="8:8" x14ac:dyDescent="0.25">
      <c r="H21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rgar1">
                <anchor moveWithCells="1" sizeWithCells="1">
                  <from>
                    <xdr:col>0</xdr:col>
                    <xdr:colOff>571500</xdr:colOff>
                    <xdr:row>24</xdr:row>
                    <xdr:rowOff>123825</xdr:rowOff>
                  </from>
                  <to>
                    <xdr:col>2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argar2">
                <anchor moveWithCells="1" sizeWithCells="1">
                  <from>
                    <xdr:col>4</xdr:col>
                    <xdr:colOff>47625</xdr:colOff>
                    <xdr:row>24</xdr:row>
                    <xdr:rowOff>133350</xdr:rowOff>
                  </from>
                  <to>
                    <xdr:col>5</xdr:col>
                    <xdr:colOff>428625</xdr:colOff>
                    <xdr:row>26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E3A93-6A94-4E84-B7DC-4D708A32F347}">
  <sheetPr codeName="Hoja5"/>
  <dimension ref="A1:B30"/>
  <sheetViews>
    <sheetView tabSelected="1" workbookViewId="0">
      <selection activeCell="C1" sqref="C1"/>
    </sheetView>
  </sheetViews>
  <sheetFormatPr baseColWidth="10" defaultRowHeight="15" x14ac:dyDescent="0.25"/>
  <cols>
    <col min="1" max="1" width="14.140625" bestFit="1" customWidth="1"/>
    <col min="2" max="2" width="17.7109375" customWidth="1"/>
  </cols>
  <sheetData>
    <row r="1" spans="1:2" ht="18.75" x14ac:dyDescent="0.25">
      <c r="A1" s="12" t="s">
        <v>3</v>
      </c>
      <c r="B1" s="12" t="s">
        <v>14</v>
      </c>
    </row>
    <row r="2" spans="1:2" x14ac:dyDescent="0.25">
      <c r="A2" s="8"/>
      <c r="B2" s="14" t="str">
        <f>IF(ISERROR(_xlfn.XLOOKUP(A2,ALMACEN!A2:A5,ALMACEN!B2:B5)),"-",(_xlfn.XLOOKUP(A2,ALMACEN!A2:A5,ALMACEN!B2:B5)))</f>
        <v>-</v>
      </c>
    </row>
    <row r="3" spans="1:2" x14ac:dyDescent="0.25">
      <c r="B3" s="14">
        <f>IF(ISERROR(_xlfn.XLOOKUP(A3,ALMACEN!A3:A6,ALMACEN!B3:B6)),"-",(_xlfn.XLOOKUP(A3,ALMACEN!A3:A6,ALMACEN!B3:B6)))</f>
        <v>0</v>
      </c>
    </row>
    <row r="4" spans="1:2" x14ac:dyDescent="0.25">
      <c r="B4" s="14">
        <f>IF(ISERROR(_xlfn.XLOOKUP(A4,ALMACEN!A4:A7,ALMACEN!B4:B7)),"-",(_xlfn.XLOOKUP(A4,ALMACEN!A4:A7,ALMACEN!B4:B7)))</f>
        <v>0</v>
      </c>
    </row>
    <row r="5" spans="1:2" x14ac:dyDescent="0.25">
      <c r="B5" s="14">
        <f>IF(ISERROR(_xlfn.XLOOKUP(A5,ALMACEN!A5:A8,ALMACEN!B5:B8)),"-",(_xlfn.XLOOKUP(A5,ALMACEN!A5:A8,ALMACEN!B5:B8)))</f>
        <v>0</v>
      </c>
    </row>
    <row r="6" spans="1:2" x14ac:dyDescent="0.25">
      <c r="B6" s="14">
        <f>IF(ISERROR(_xlfn.XLOOKUP(A6,ALMACEN!A6:A9,ALMACEN!B6:B9)),"-",(_xlfn.XLOOKUP(A6,ALMACEN!A6:A9,ALMACEN!B6:B9)))</f>
        <v>0</v>
      </c>
    </row>
    <row r="7" spans="1:2" x14ac:dyDescent="0.25">
      <c r="B7" s="14">
        <f>IF(ISERROR(_xlfn.XLOOKUP(A7,ALMACEN!A7:A10,ALMACEN!B7:B10)),"-",(_xlfn.XLOOKUP(A7,ALMACEN!A7:A10,ALMACEN!B7:B10)))</f>
        <v>0</v>
      </c>
    </row>
    <row r="8" spans="1:2" x14ac:dyDescent="0.25">
      <c r="B8" s="14">
        <f>IF(ISERROR(_xlfn.XLOOKUP(A8,ALMACEN!A8:A11,ALMACEN!B8:B11)),"-",(_xlfn.XLOOKUP(A8,ALMACEN!A8:A11,ALMACEN!B8:B11)))</f>
        <v>0</v>
      </c>
    </row>
    <row r="9" spans="1:2" x14ac:dyDescent="0.25">
      <c r="B9" s="14">
        <f>IF(ISERROR(_xlfn.XLOOKUP(A9,ALMACEN!A9:A12,ALMACEN!B9:B12)),"-",(_xlfn.XLOOKUP(A9,ALMACEN!A9:A12,ALMACEN!B9:B12)))</f>
        <v>0</v>
      </c>
    </row>
    <row r="10" spans="1:2" x14ac:dyDescent="0.25">
      <c r="B10" s="14">
        <f>IF(ISERROR(_xlfn.XLOOKUP(A10,ALMACEN!A10:A13,ALMACEN!B10:B13)),"-",(_xlfn.XLOOKUP(A10,ALMACEN!A10:A13,ALMACEN!B10:B13)))</f>
        <v>0</v>
      </c>
    </row>
    <row r="11" spans="1:2" x14ac:dyDescent="0.25">
      <c r="B11" s="14">
        <f>IF(ISERROR(_xlfn.XLOOKUP(A11,ALMACEN!A11:A14,ALMACEN!B11:B14)),"-",(_xlfn.XLOOKUP(A11,ALMACEN!A11:A14,ALMACEN!B11:B14)))</f>
        <v>0</v>
      </c>
    </row>
    <row r="12" spans="1:2" x14ac:dyDescent="0.25">
      <c r="B12" s="14">
        <f>IF(ISERROR(_xlfn.XLOOKUP(A12,ALMACEN!A12:A15,ALMACEN!B12:B15)),"-",(_xlfn.XLOOKUP(A12,ALMACEN!A12:A15,ALMACEN!B12:B15)))</f>
        <v>0</v>
      </c>
    </row>
    <row r="13" spans="1:2" x14ac:dyDescent="0.25">
      <c r="B13" s="14">
        <f>IF(ISERROR(_xlfn.XLOOKUP(A13,ALMACEN!A13:A16,ALMACEN!B13:B16)),"-",(_xlfn.XLOOKUP(A13,ALMACEN!A13:A16,ALMACEN!B13:B16)))</f>
        <v>0</v>
      </c>
    </row>
    <row r="14" spans="1:2" x14ac:dyDescent="0.25">
      <c r="B14" s="14">
        <f>IF(ISERROR(_xlfn.XLOOKUP(A14,ALMACEN!A14:A17,ALMACEN!B14:B17)),"-",(_xlfn.XLOOKUP(A14,ALMACEN!A14:A17,ALMACEN!B14:B17)))</f>
        <v>0</v>
      </c>
    </row>
    <row r="15" spans="1:2" x14ac:dyDescent="0.25">
      <c r="B15" s="14">
        <f>IF(ISERROR(_xlfn.XLOOKUP(A15,ALMACEN!A15:A18,ALMACEN!B15:B18)),"-",(_xlfn.XLOOKUP(A15,ALMACEN!A15:A18,ALMACEN!B15:B18)))</f>
        <v>0</v>
      </c>
    </row>
    <row r="16" spans="1:2" x14ac:dyDescent="0.25">
      <c r="B16" s="14">
        <f>IF(ISERROR(_xlfn.XLOOKUP(A16,ALMACEN!A16:A19,ALMACEN!B16:B19)),"-",(_xlfn.XLOOKUP(A16,ALMACEN!A16:A19,ALMACEN!B16:B19)))</f>
        <v>0</v>
      </c>
    </row>
    <row r="17" spans="2:2" x14ac:dyDescent="0.25">
      <c r="B17" s="14">
        <f>IF(ISERROR(_xlfn.XLOOKUP(A17,ALMACEN!A17:A20,ALMACEN!B17:B20)),"-",(_xlfn.XLOOKUP(A17,ALMACEN!A17:A20,ALMACEN!B17:B20)))</f>
        <v>0</v>
      </c>
    </row>
    <row r="18" spans="2:2" x14ac:dyDescent="0.25">
      <c r="B18" s="14">
        <f>IF(ISERROR(_xlfn.XLOOKUP(A18,ALMACEN!A18:A21,ALMACEN!B18:B21)),"-",(_xlfn.XLOOKUP(A18,ALMACEN!A18:A21,ALMACEN!B18:B21)))</f>
        <v>0</v>
      </c>
    </row>
    <row r="19" spans="2:2" x14ac:dyDescent="0.25">
      <c r="B19" s="14">
        <f>IF(ISERROR(_xlfn.XLOOKUP(A19,ALMACEN!A19:A22,ALMACEN!B19:B22)),"-",(_xlfn.XLOOKUP(A19,ALMACEN!A19:A22,ALMACEN!B19:B22)))</f>
        <v>0</v>
      </c>
    </row>
    <row r="20" spans="2:2" x14ac:dyDescent="0.25">
      <c r="B20" s="14">
        <f>IF(ISERROR(_xlfn.XLOOKUP(A20,ALMACEN!A20:A23,ALMACEN!B20:B23)),"-",(_xlfn.XLOOKUP(A20,ALMACEN!A20:A23,ALMACEN!B20:B23)))</f>
        <v>0</v>
      </c>
    </row>
    <row r="21" spans="2:2" x14ac:dyDescent="0.25">
      <c r="B21" s="14">
        <f>IF(ISERROR(_xlfn.XLOOKUP(A21,ALMACEN!A21:A24,ALMACEN!B21:B24)),"-",(_xlfn.XLOOKUP(A21,ALMACEN!A21:A24,ALMACEN!B21:B24)))</f>
        <v>0</v>
      </c>
    </row>
    <row r="22" spans="2:2" x14ac:dyDescent="0.25">
      <c r="B22" s="14">
        <f>IF(ISERROR(_xlfn.XLOOKUP(A22,ALMACEN!A22:A25,ALMACEN!B22:B25)),"-",(_xlfn.XLOOKUP(A22,ALMACEN!A22:A25,ALMACEN!B22:B25)))</f>
        <v>0</v>
      </c>
    </row>
    <row r="23" spans="2:2" x14ac:dyDescent="0.25">
      <c r="B23" s="14">
        <f>IF(ISERROR(_xlfn.XLOOKUP(A23,ALMACEN!A23:A26,ALMACEN!B23:B26)),"-",(_xlfn.XLOOKUP(A23,ALMACEN!A23:A26,ALMACEN!B23:B26)))</f>
        <v>0</v>
      </c>
    </row>
    <row r="24" spans="2:2" x14ac:dyDescent="0.25">
      <c r="B24" s="14">
        <f>IF(ISERROR(_xlfn.XLOOKUP(A24,ALMACEN!A24:A27,ALMACEN!B24:B27)),"-",(_xlfn.XLOOKUP(A24,ALMACEN!A24:A27,ALMACEN!B24:B27)))</f>
        <v>0</v>
      </c>
    </row>
    <row r="25" spans="2:2" x14ac:dyDescent="0.25">
      <c r="B25" s="14">
        <f>IF(ISERROR(_xlfn.XLOOKUP(A25,ALMACEN!A25:A28,ALMACEN!B25:B28)),"-",(_xlfn.XLOOKUP(A25,ALMACEN!A25:A28,ALMACEN!B25:B28)))</f>
        <v>0</v>
      </c>
    </row>
    <row r="26" spans="2:2" x14ac:dyDescent="0.25">
      <c r="B26" s="14">
        <f>IF(ISERROR(_xlfn.XLOOKUP(A26,ALMACEN!A26:A29,ALMACEN!B26:B29)),"-",(_xlfn.XLOOKUP(A26,ALMACEN!A26:A29,ALMACEN!B26:B29)))</f>
        <v>0</v>
      </c>
    </row>
    <row r="27" spans="2:2" x14ac:dyDescent="0.25">
      <c r="B27" s="14">
        <f>IF(ISERROR(_xlfn.XLOOKUP(A27,ALMACEN!A27:A30,ALMACEN!B27:B30)),"-",(_xlfn.XLOOKUP(A27,ALMACEN!A27:A30,ALMACEN!B27:B30)))</f>
        <v>0</v>
      </c>
    </row>
    <row r="28" spans="2:2" x14ac:dyDescent="0.25">
      <c r="B28" s="14">
        <f>IF(ISERROR(_xlfn.XLOOKUP(A28,ALMACEN!A28:A31,ALMACEN!B28:B31)),"-",(_xlfn.XLOOKUP(A28,ALMACEN!A28:A31,ALMACEN!B28:B31)))</f>
        <v>0</v>
      </c>
    </row>
    <row r="29" spans="2:2" x14ac:dyDescent="0.25">
      <c r="B29" s="14">
        <f>IF(ISERROR(_xlfn.XLOOKUP(A29,ALMACEN!A29:A32,ALMACEN!B29:B32)),"-",(_xlfn.XLOOKUP(A29,ALMACEN!A29:A32,ALMACEN!B29:B32)))</f>
        <v>0</v>
      </c>
    </row>
    <row r="30" spans="2:2" x14ac:dyDescent="0.25">
      <c r="B30" s="14">
        <f>IF(ISERROR(_xlfn.XLOOKUP(A30,ALMACEN!A30:A33,ALMACEN!B30:B33)),"-",(_xlfn.XLOOKUP(A30,ALMACEN!A30:A33,ALMACEN!B30:B33)))</f>
        <v>0</v>
      </c>
    </row>
  </sheetData>
  <pageMargins left="0.7" right="0.7" top="0.75" bottom="0.75" header="0.3" footer="0.3"/>
  <pageSetup orientation="portrait" r:id="rId1"/>
  <ignoredErrors>
    <ignoredError sqref="B3:B6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</vt:i4>
      </vt:variant>
    </vt:vector>
  </HeadingPairs>
  <TitlesOfParts>
    <vt:vector size="11" baseType="lpstr">
      <vt:lpstr>Hoja1</vt:lpstr>
      <vt:lpstr>ALMACEN</vt:lpstr>
      <vt:lpstr>BUSCADOR</vt:lpstr>
      <vt:lpstr>CATALOGO</vt:lpstr>
      <vt:lpstr>LISTA</vt:lpstr>
      <vt:lpstr>Doritos</vt:lpstr>
      <vt:lpstr>ELIZABETH_QUAY</vt:lpstr>
      <vt:lpstr>MATAGARUP_BRIDGE</vt:lpstr>
      <vt:lpstr>Oreo_Mini_Cookies</vt:lpstr>
      <vt:lpstr>Smiths_Snacks</vt:lpstr>
      <vt:lpstr>Water_Mineral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ExecutiveRG</dc:creator>
  <cp:lastModifiedBy>ExecutiveRG</cp:lastModifiedBy>
  <dcterms:created xsi:type="dcterms:W3CDTF">2026-05-19T16:05:16Z</dcterms:created>
  <dcterms:modified xsi:type="dcterms:W3CDTF">2026-05-19T23:43:38Z</dcterms:modified>
</cp:coreProperties>
</file>